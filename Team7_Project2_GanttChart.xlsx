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w\Desktop\"/>
    </mc:Choice>
  </mc:AlternateContent>
  <xr:revisionPtr revIDLastSave="0" documentId="13_ncr:1_{CFF2C309-6034-4CBC-8383-2FB46A856C1A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Gantt Chart" sheetId="1" r:id="rId1"/>
  </sheets>
  <definedNames>
    <definedName name="_xlnm.Print_Area" localSheetId="0">'Gantt Chart'!$A$1:$AI$50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0" i="1" l="1"/>
  <c r="F49" i="1"/>
  <c r="F42" i="1" s="1"/>
  <c r="G42" i="1" s="1"/>
  <c r="F48" i="1"/>
  <c r="F47" i="1"/>
  <c r="F46" i="1"/>
  <c r="F45" i="1"/>
  <c r="F44" i="1"/>
  <c r="F43" i="1"/>
  <c r="E42" i="1"/>
  <c r="F41" i="1"/>
  <c r="F40" i="1"/>
  <c r="F39" i="1"/>
  <c r="F38" i="1"/>
  <c r="F37" i="1"/>
  <c r="F36" i="1"/>
  <c r="F35" i="1"/>
  <c r="F34" i="1"/>
  <c r="F33" i="1"/>
  <c r="F32" i="1" s="1"/>
  <c r="G32" i="1" s="1"/>
  <c r="E32" i="1"/>
  <c r="F31" i="1"/>
  <c r="F30" i="1"/>
  <c r="F29" i="1"/>
  <c r="F28" i="1"/>
  <c r="F27" i="1"/>
  <c r="F26" i="1"/>
  <c r="F25" i="1"/>
  <c r="G25" i="1" s="1"/>
  <c r="E25" i="1"/>
  <c r="F24" i="1"/>
  <c r="F23" i="1"/>
  <c r="F17" i="1" s="1"/>
  <c r="G17" i="1" s="1"/>
  <c r="F22" i="1"/>
  <c r="F21" i="1"/>
  <c r="F20" i="1"/>
  <c r="F19" i="1"/>
  <c r="F18" i="1"/>
  <c r="E17" i="1"/>
  <c r="F16" i="1"/>
  <c r="F15" i="1"/>
  <c r="F14" i="1"/>
  <c r="F13" i="1"/>
  <c r="F12" i="1"/>
  <c r="F11" i="1"/>
  <c r="F10" i="1"/>
  <c r="F9" i="1" s="1"/>
  <c r="G9" i="1" s="1"/>
  <c r="E9" i="1"/>
  <c r="H8" i="1"/>
  <c r="H7" i="1" s="1"/>
  <c r="A3" i="1"/>
  <c r="H6" i="1" l="1"/>
  <c r="I8" i="1"/>
  <c r="I7" i="1" l="1"/>
  <c r="J8" i="1"/>
  <c r="J7" i="1" l="1"/>
  <c r="K8" i="1"/>
  <c r="K7" i="1" l="1"/>
  <c r="L8" i="1"/>
  <c r="M8" i="1" l="1"/>
  <c r="L7" i="1"/>
  <c r="N8" i="1" l="1"/>
  <c r="M7" i="1"/>
  <c r="N7" i="1" l="1"/>
  <c r="O8" i="1"/>
  <c r="O7" i="1" l="1"/>
  <c r="P8" i="1"/>
  <c r="O6" i="1"/>
  <c r="P7" i="1" l="1"/>
  <c r="Q8" i="1"/>
  <c r="Q7" i="1" l="1"/>
  <c r="R8" i="1"/>
  <c r="R7" i="1" l="1"/>
  <c r="S8" i="1"/>
  <c r="T8" i="1" l="1"/>
  <c r="S7" i="1"/>
  <c r="U8" i="1" l="1"/>
  <c r="T7" i="1"/>
  <c r="U7" i="1" l="1"/>
  <c r="V8" i="1"/>
  <c r="V7" i="1" l="1"/>
  <c r="V6" i="1"/>
  <c r="W8" i="1"/>
  <c r="X8" i="1" l="1"/>
  <c r="W7" i="1"/>
  <c r="X7" i="1" l="1"/>
  <c r="Y8" i="1"/>
  <c r="Z8" i="1" l="1"/>
  <c r="Y7" i="1"/>
  <c r="Z7" i="1" l="1"/>
  <c r="AA8" i="1"/>
  <c r="AB8" i="1" l="1"/>
  <c r="AA7" i="1"/>
  <c r="AC8" i="1" l="1"/>
  <c r="AB7" i="1"/>
  <c r="AC6" i="1" l="1"/>
  <c r="AC7" i="1"/>
  <c r="AD8" i="1"/>
  <c r="AD7" i="1" l="1"/>
  <c r="AE8" i="1"/>
  <c r="AE7" i="1" l="1"/>
  <c r="AF8" i="1"/>
  <c r="AF7" i="1" l="1"/>
  <c r="AG8" i="1"/>
  <c r="AG7" i="1" l="1"/>
  <c r="AH8" i="1"/>
  <c r="AH7" i="1" l="1"/>
  <c r="AI8" i="1"/>
  <c r="AI7" i="1" s="1"/>
</calcChain>
</file>

<file path=xl/sharedStrings.xml><?xml version="1.0" encoding="utf-8"?>
<sst xmlns="http://schemas.openxmlformats.org/spreadsheetml/2006/main" count="126" uniqueCount="103">
  <si>
    <t>EGR 100 – Project #2 Heat Exchanger Design: Gantt Chart</t>
  </si>
  <si>
    <t>Team 7</t>
  </si>
  <si>
    <t>Phase</t>
  </si>
  <si>
    <t>Task</t>
  </si>
  <si>
    <t>Milestone</t>
  </si>
  <si>
    <t>Weekend</t>
  </si>
  <si>
    <t>WBS</t>
  </si>
  <si>
    <t>Task / Work Package</t>
  </si>
  <si>
    <t>Owner</t>
  </si>
  <si>
    <t>Depends on</t>
  </si>
  <si>
    <t>Start</t>
  </si>
  <si>
    <t>End</t>
  </si>
  <si>
    <t>Days</t>
  </si>
  <si>
    <t>1</t>
  </si>
  <si>
    <t>PROJECT MANAGEMENT &amp; PLANNING</t>
  </si>
  <si>
    <t>1.1</t>
  </si>
  <si>
    <t>Kickoff meeting &amp; assign team roles</t>
  </si>
  <si>
    <t>-</t>
  </si>
  <si>
    <t>1.2</t>
  </si>
  <si>
    <t>Set meeting schedule &amp; communication plan</t>
  </si>
  <si>
    <t>1.3</t>
  </si>
  <si>
    <t>Create WBS chart (Creately)</t>
  </si>
  <si>
    <t>1.4</t>
  </si>
  <si>
    <t>Create Gantt chart (Excel)</t>
  </si>
  <si>
    <t>1.5</t>
  </si>
  <si>
    <t>MILESTONE: Submit WBS &amp; Gantt to D2L</t>
  </si>
  <si>
    <t>1.6</t>
  </si>
  <si>
    <t>Mid-project progress review &amp; schedule update</t>
  </si>
  <si>
    <t>1.7</t>
  </si>
  <si>
    <t>Pre-final progress review &amp; schedule update</t>
  </si>
  <si>
    <t>2</t>
  </si>
  <si>
    <t>RESEARCH &amp; DESIGN REQUIREMENTS</t>
  </si>
  <si>
    <t>2.1</t>
  </si>
  <si>
    <t>Review heat exchanger project brief</t>
  </si>
  <si>
    <t>2.2</t>
  </si>
  <si>
    <t>Study D2L example heat exchanger calculation</t>
  </si>
  <si>
    <t>2.3</t>
  </si>
  <si>
    <t>Define requirements (1100 lb/hr, 380°F in, ≤215°F out)</t>
  </si>
  <si>
    <t>2.4</t>
  </si>
  <si>
    <t>Research double-pipe theory (counter vs. parallel flow)</t>
  </si>
  <si>
    <t>2.5</t>
  </si>
  <si>
    <t>Gather fluid property data (steam &amp; cooling fluid)</t>
  </si>
  <si>
    <t>2.6</t>
  </si>
  <si>
    <t>Research tubing sizes, materials &amp; cost</t>
  </si>
  <si>
    <t>2.7</t>
  </si>
  <si>
    <t>Assess installation constraints (space, safety, vents)</t>
  </si>
  <si>
    <t>3</t>
  </si>
  <si>
    <t>PROTOTYPE CALCULATION MODEL (CHECKPOINT)</t>
  </si>
  <si>
    <t>3.1</t>
  </si>
  <si>
    <t>Set up Excel workbook, inputs &amp; property tables</t>
  </si>
  <si>
    <t>3.2</t>
  </si>
  <si>
    <t>Calc. tube sizes, flow areas, velocities (Sec. B–E)</t>
  </si>
  <si>
    <t>3.3</t>
  </si>
  <si>
    <t>Calc. Reynolds, Nusselt &amp; convection coeff. (Sec. F–H)</t>
  </si>
  <si>
    <t>3.4</t>
  </si>
  <si>
    <t>Calc. Uo &amp; outlet temps, counter/parallel (Sec. I–J)</t>
  </si>
  <si>
    <t>3.5</t>
  </si>
  <si>
    <t>Verify results vs. example (T2 = 158.4°F, t2 = 91.33°F)</t>
  </si>
  <si>
    <t>3.6</t>
  </si>
  <si>
    <t>Create checkpoint scatter plots</t>
  </si>
  <si>
    <t>4</t>
  </si>
  <si>
    <t>FINAL DESIGN (STEAM COOLING)</t>
  </si>
  <si>
    <t>4.1</t>
  </si>
  <si>
    <t>Update model inputs for furnace gas (1100 lb/hr, 380°F)</t>
  </si>
  <si>
    <t>4.2</t>
  </si>
  <si>
    <t>Select cooling fluid &amp; flow rate</t>
  </si>
  <si>
    <t>4.1, 2.5</t>
  </si>
  <si>
    <t>4.3</t>
  </si>
  <si>
    <t>Select tubing sizes &amp; materials</t>
  </si>
  <si>
    <t>4.4</t>
  </si>
  <si>
    <t>Parametric study: vary exchanger length</t>
  </si>
  <si>
    <t>4.5</t>
  </si>
  <si>
    <t>Parametric study: vary cooling fluid flow rate</t>
  </si>
  <si>
    <t>4.6</t>
  </si>
  <si>
    <t>Confirm outlet temp ≤215°F with safety margin</t>
  </si>
  <si>
    <t>4.4, 4.5</t>
  </si>
  <si>
    <t>4.7</t>
  </si>
  <si>
    <t>Check feasibility (pressure drop, size, cost, install)</t>
  </si>
  <si>
    <t>4.8</t>
  </si>
  <si>
    <t>Create final scatter plots</t>
  </si>
  <si>
    <t>4.9</t>
  </si>
  <si>
    <t>Finalize design selection</t>
  </si>
  <si>
    <t>4.7, 4.8</t>
  </si>
  <si>
    <t>5</t>
  </si>
  <si>
    <t>DOCUMENTATION, PRESENTATION &amp; DEMO</t>
  </si>
  <si>
    <t>5.1</t>
  </si>
  <si>
    <t>Write checkpoint report (calcs + scatter plots)</t>
  </si>
  <si>
    <t>3.5, 3.6</t>
  </si>
  <si>
    <t>5.2</t>
  </si>
  <si>
    <t>MILESTONE: Submit checkpoint</t>
  </si>
  <si>
    <t>5.3</t>
  </si>
  <si>
    <t>Draft final report: background &amp; methods</t>
  </si>
  <si>
    <t>5.4</t>
  </si>
  <si>
    <t>Complete final report: results, plots &amp; conclusions</t>
  </si>
  <si>
    <t>5.5</t>
  </si>
  <si>
    <t>Prepare presentation &amp; final demo prototype</t>
  </si>
  <si>
    <t>5.6</t>
  </si>
  <si>
    <t>Rehearse demo for TA</t>
  </si>
  <si>
    <t>5.7</t>
  </si>
  <si>
    <t>MILESTONE: Final demonstration to TA</t>
  </si>
  <si>
    <t>5.8</t>
  </si>
  <si>
    <t>Submit final report &amp; deliverables</t>
  </si>
  <si>
    <t>5.4, 5.7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</si>
</sst>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dd\ m/d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B8BD0"/>
        <bgColor rgb="FF808080"/>
      </patternFill>
    </fill>
    <fill>
      <patternFill patternType="solid">
        <fgColor rgb="FFED7D31"/>
        <bgColor rgb="FFFF8080"/>
      </patternFill>
    </fill>
    <fill>
      <patternFill patternType="solid">
        <fgColor rgb="FFE7E6E6"/>
        <bgColor rgb="FFD9E2F3"/>
      </patternFill>
    </fill>
    <fill>
      <patternFill patternType="solid">
        <fgColor rgb="FFD9E2F3"/>
        <bgColor rgb="FFE7E6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165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E7E6E6"/>
        </patternFill>
      </fill>
    </dxf>
    <dxf>
      <fill>
        <patternFill>
          <bgColor rgb="FF5B8BD0"/>
        </patternFill>
      </fill>
    </dxf>
    <dxf>
      <fill>
        <patternFill>
          <bgColor rgb="FFED7D31"/>
        </patternFill>
      </fill>
    </dxf>
    <dxf>
      <fill>
        <patternFill>
          <bgColor rgb="FF1F386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B8BD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0"/>
  <sheetViews>
    <sheetView showGridLines="0"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42" sqref="F42"/>
    </sheetView>
  </sheetViews>
  <sheetFormatPr defaultColWidth="8.6328125" defaultRowHeight="14.5" x14ac:dyDescent="0.35"/>
  <cols>
    <col min="1" max="1" width="6" customWidth="1"/>
    <col min="2" max="2" width="58" customWidth="1"/>
    <col min="3" max="3" width="12" customWidth="1"/>
    <col min="4" max="6" width="11" customWidth="1"/>
    <col min="7" max="7" width="6" customWidth="1"/>
    <col min="8" max="35" width="3.26953125" customWidth="1"/>
  </cols>
  <sheetData>
    <row r="1" spans="1:35" ht="21.75" customHeight="1" x14ac:dyDescent="0.4">
      <c r="A1" s="3" t="s">
        <v>0</v>
      </c>
    </row>
    <row r="2" spans="1:35" x14ac:dyDescent="0.35">
      <c r="A2" s="4" t="s">
        <v>1</v>
      </c>
    </row>
    <row r="3" spans="1:35" x14ac:dyDescent="0.35">
      <c r="A3" s="5" t="str">
        <f>"Project start: "&amp;TEXT(MIN(E9:E50),"dddd, mmmm d, yyyy")</f>
        <v>Project start: Monday, October 19, 2026</v>
      </c>
    </row>
    <row r="4" spans="1:35" x14ac:dyDescent="0.35">
      <c r="H4" s="6"/>
      <c r="I4" s="7" t="s">
        <v>2</v>
      </c>
      <c r="M4" s="8"/>
      <c r="N4" s="7" t="s">
        <v>3</v>
      </c>
      <c r="R4" s="9"/>
      <c r="S4" s="7" t="s">
        <v>4</v>
      </c>
      <c r="W4" s="10"/>
      <c r="X4" s="7" t="s">
        <v>5</v>
      </c>
    </row>
    <row r="6" spans="1:35" ht="15.75" customHeight="1" x14ac:dyDescent="0.3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1" t="str">
        <f>"Week of "&amp;TEXT(H8,"mmm d")</f>
        <v>Week of Oct 19</v>
      </c>
      <c r="I6" s="1"/>
      <c r="J6" s="1"/>
      <c r="K6" s="1"/>
      <c r="L6" s="1"/>
      <c r="M6" s="1"/>
      <c r="N6" s="1"/>
      <c r="O6" s="1" t="str">
        <f>"Week of "&amp;TEXT(O8,"mmm d")</f>
        <v>Week of Oct 26</v>
      </c>
      <c r="P6" s="1"/>
      <c r="Q6" s="1"/>
      <c r="R6" s="1"/>
      <c r="S6" s="1"/>
      <c r="T6" s="1"/>
      <c r="U6" s="1"/>
      <c r="V6" s="1" t="str">
        <f>"Week of "&amp;TEXT(V8,"mmm d")</f>
        <v>Week of Nov 2</v>
      </c>
      <c r="W6" s="1"/>
      <c r="X6" s="1"/>
      <c r="Y6" s="1"/>
      <c r="Z6" s="1"/>
      <c r="AA6" s="1"/>
      <c r="AB6" s="1"/>
      <c r="AC6" s="1" t="str">
        <f>"Week of "&amp;TEXT(AC8,"mmm d")</f>
        <v>Week of Nov 9</v>
      </c>
      <c r="AD6" s="1"/>
      <c r="AE6" s="1"/>
      <c r="AF6" s="1"/>
      <c r="AG6" s="1"/>
      <c r="AH6" s="1"/>
      <c r="AI6" s="1"/>
    </row>
    <row r="7" spans="1:35" x14ac:dyDescent="0.35">
      <c r="A7" s="2"/>
      <c r="B7" s="2"/>
      <c r="C7" s="2"/>
      <c r="D7" s="2"/>
      <c r="E7" s="2"/>
      <c r="F7" s="2"/>
      <c r="G7" s="2"/>
      <c r="H7" s="11" t="str">
        <f t="shared" ref="H7:AI7" si="0">LEFT(TEXT(H8,"ddd"),1)</f>
        <v>M</v>
      </c>
      <c r="I7" s="11" t="str">
        <f t="shared" si="0"/>
        <v>T</v>
      </c>
      <c r="J7" s="11" t="str">
        <f t="shared" si="0"/>
        <v>W</v>
      </c>
      <c r="K7" s="11" t="str">
        <f t="shared" si="0"/>
        <v>T</v>
      </c>
      <c r="L7" s="11" t="str">
        <f t="shared" si="0"/>
        <v>F</v>
      </c>
      <c r="M7" s="11" t="str">
        <f t="shared" si="0"/>
        <v>S</v>
      </c>
      <c r="N7" s="11" t="str">
        <f t="shared" si="0"/>
        <v>S</v>
      </c>
      <c r="O7" s="11" t="str">
        <f t="shared" si="0"/>
        <v>M</v>
      </c>
      <c r="P7" s="11" t="str">
        <f t="shared" si="0"/>
        <v>T</v>
      </c>
      <c r="Q7" s="11" t="str">
        <f t="shared" si="0"/>
        <v>W</v>
      </c>
      <c r="R7" s="11" t="str">
        <f t="shared" si="0"/>
        <v>T</v>
      </c>
      <c r="S7" s="11" t="str">
        <f t="shared" si="0"/>
        <v>F</v>
      </c>
      <c r="T7" s="11" t="str">
        <f t="shared" si="0"/>
        <v>S</v>
      </c>
      <c r="U7" s="11" t="str">
        <f t="shared" si="0"/>
        <v>S</v>
      </c>
      <c r="V7" s="11" t="str">
        <f t="shared" si="0"/>
        <v>M</v>
      </c>
      <c r="W7" s="11" t="str">
        <f t="shared" si="0"/>
        <v>T</v>
      </c>
      <c r="X7" s="11" t="str">
        <f t="shared" si="0"/>
        <v>W</v>
      </c>
      <c r="Y7" s="11" t="str">
        <f t="shared" si="0"/>
        <v>T</v>
      </c>
      <c r="Z7" s="11" t="str">
        <f t="shared" si="0"/>
        <v>F</v>
      </c>
      <c r="AA7" s="11" t="str">
        <f t="shared" si="0"/>
        <v>S</v>
      </c>
      <c r="AB7" s="11" t="str">
        <f t="shared" si="0"/>
        <v>S</v>
      </c>
      <c r="AC7" s="11" t="str">
        <f t="shared" si="0"/>
        <v>M</v>
      </c>
      <c r="AD7" s="11" t="str">
        <f t="shared" si="0"/>
        <v>T</v>
      </c>
      <c r="AE7" s="11" t="str">
        <f t="shared" si="0"/>
        <v>W</v>
      </c>
      <c r="AF7" s="11" t="str">
        <f t="shared" si="0"/>
        <v>T</v>
      </c>
      <c r="AG7" s="11" t="str">
        <f t="shared" si="0"/>
        <v>F</v>
      </c>
      <c r="AH7" s="11" t="str">
        <f t="shared" si="0"/>
        <v>S</v>
      </c>
      <c r="AI7" s="11" t="str">
        <f t="shared" si="0"/>
        <v>S</v>
      </c>
    </row>
    <row r="8" spans="1:35" x14ac:dyDescent="0.35">
      <c r="A8" s="2"/>
      <c r="B8" s="2"/>
      <c r="C8" s="2"/>
      <c r="D8" s="2"/>
      <c r="E8" s="2"/>
      <c r="F8" s="2"/>
      <c r="G8" s="2"/>
      <c r="H8" s="12">
        <f>MIN($E$9:$E$50)</f>
        <v>46314</v>
      </c>
      <c r="I8" s="12">
        <f t="shared" ref="I8:AI8" si="1">H8+1</f>
        <v>46315</v>
      </c>
      <c r="J8" s="12">
        <f t="shared" si="1"/>
        <v>46316</v>
      </c>
      <c r="K8" s="12">
        <f t="shared" si="1"/>
        <v>46317</v>
      </c>
      <c r="L8" s="12">
        <f t="shared" si="1"/>
        <v>46318</v>
      </c>
      <c r="M8" s="12">
        <f t="shared" si="1"/>
        <v>46319</v>
      </c>
      <c r="N8" s="12">
        <f t="shared" si="1"/>
        <v>46320</v>
      </c>
      <c r="O8" s="12">
        <f t="shared" si="1"/>
        <v>46321</v>
      </c>
      <c r="P8" s="12">
        <f t="shared" si="1"/>
        <v>46322</v>
      </c>
      <c r="Q8" s="12">
        <f t="shared" si="1"/>
        <v>46323</v>
      </c>
      <c r="R8" s="12">
        <f t="shared" si="1"/>
        <v>46324</v>
      </c>
      <c r="S8" s="12">
        <f t="shared" si="1"/>
        <v>46325</v>
      </c>
      <c r="T8" s="12">
        <f t="shared" si="1"/>
        <v>46326</v>
      </c>
      <c r="U8" s="12">
        <f t="shared" si="1"/>
        <v>46327</v>
      </c>
      <c r="V8" s="12">
        <f t="shared" si="1"/>
        <v>46328</v>
      </c>
      <c r="W8" s="12">
        <f t="shared" si="1"/>
        <v>46329</v>
      </c>
      <c r="X8" s="12">
        <f t="shared" si="1"/>
        <v>46330</v>
      </c>
      <c r="Y8" s="12">
        <f t="shared" si="1"/>
        <v>46331</v>
      </c>
      <c r="Z8" s="12">
        <f t="shared" si="1"/>
        <v>46332</v>
      </c>
      <c r="AA8" s="12">
        <f t="shared" si="1"/>
        <v>46333</v>
      </c>
      <c r="AB8" s="12">
        <f t="shared" si="1"/>
        <v>46334</v>
      </c>
      <c r="AC8" s="12">
        <f t="shared" si="1"/>
        <v>46335</v>
      </c>
      <c r="AD8" s="12">
        <f t="shared" si="1"/>
        <v>46336</v>
      </c>
      <c r="AE8" s="12">
        <f t="shared" si="1"/>
        <v>46337</v>
      </c>
      <c r="AF8" s="12">
        <f t="shared" si="1"/>
        <v>46338</v>
      </c>
      <c r="AG8" s="12">
        <f t="shared" si="1"/>
        <v>46339</v>
      </c>
      <c r="AH8" s="12">
        <f t="shared" si="1"/>
        <v>46340</v>
      </c>
      <c r="AI8" s="12">
        <f t="shared" si="1"/>
        <v>46341</v>
      </c>
    </row>
    <row r="9" spans="1:35" ht="15" customHeight="1" x14ac:dyDescent="0.35">
      <c r="A9" s="13" t="s">
        <v>13</v>
      </c>
      <c r="B9" s="14" t="s">
        <v>14</v>
      </c>
      <c r="C9" s="13"/>
      <c r="D9" s="13"/>
      <c r="E9" s="15">
        <f>MIN(E10:E16)</f>
        <v>46314</v>
      </c>
      <c r="F9" s="15">
        <f>MAX(F10:F16)</f>
        <v>46332</v>
      </c>
      <c r="G9" s="13">
        <f>F9-E9+1</f>
        <v>19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7"/>
    </row>
    <row r="10" spans="1:35" ht="15" customHeight="1" x14ac:dyDescent="0.35">
      <c r="A10" s="18" t="s">
        <v>15</v>
      </c>
      <c r="B10" s="19" t="s">
        <v>16</v>
      </c>
      <c r="C10" s="18"/>
      <c r="D10" s="18" t="s">
        <v>17</v>
      </c>
      <c r="E10" s="20">
        <v>46314</v>
      </c>
      <c r="F10" s="20">
        <f t="shared" ref="F10:F16" si="2">E10+G10-1</f>
        <v>46314</v>
      </c>
      <c r="G10" s="18">
        <v>1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7"/>
    </row>
    <row r="11" spans="1:35" ht="15" customHeight="1" x14ac:dyDescent="0.35">
      <c r="A11" s="18" t="s">
        <v>18</v>
      </c>
      <c r="B11" s="19" t="s">
        <v>19</v>
      </c>
      <c r="C11" s="18"/>
      <c r="D11" s="18">
        <v>1.1000000000000001</v>
      </c>
      <c r="E11" s="20">
        <v>46315</v>
      </c>
      <c r="F11" s="20">
        <f t="shared" si="2"/>
        <v>46315</v>
      </c>
      <c r="G11" s="18">
        <v>1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7"/>
    </row>
    <row r="12" spans="1:35" ht="15" customHeight="1" x14ac:dyDescent="0.35">
      <c r="A12" s="18" t="s">
        <v>20</v>
      </c>
      <c r="B12" s="19" t="s">
        <v>21</v>
      </c>
      <c r="C12" s="18"/>
      <c r="D12" s="18">
        <v>1.1000000000000001</v>
      </c>
      <c r="E12" s="20">
        <v>46315</v>
      </c>
      <c r="F12" s="20">
        <f t="shared" si="2"/>
        <v>46316</v>
      </c>
      <c r="G12" s="18">
        <v>2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7"/>
    </row>
    <row r="13" spans="1:35" ht="15" customHeight="1" x14ac:dyDescent="0.35">
      <c r="A13" s="18" t="s">
        <v>22</v>
      </c>
      <c r="B13" s="19" t="s">
        <v>23</v>
      </c>
      <c r="C13" s="18"/>
      <c r="D13" s="18">
        <v>1.3</v>
      </c>
      <c r="E13" s="20">
        <v>46316</v>
      </c>
      <c r="F13" s="20">
        <f t="shared" si="2"/>
        <v>46317</v>
      </c>
      <c r="G13" s="18">
        <v>2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7"/>
    </row>
    <row r="14" spans="1:35" ht="15" customHeight="1" x14ac:dyDescent="0.35">
      <c r="A14" s="18" t="s">
        <v>24</v>
      </c>
      <c r="B14" s="19" t="s">
        <v>25</v>
      </c>
      <c r="C14" s="18"/>
      <c r="D14" s="18">
        <v>1.4</v>
      </c>
      <c r="E14" s="20">
        <v>46318</v>
      </c>
      <c r="F14" s="20">
        <f t="shared" si="2"/>
        <v>46318</v>
      </c>
      <c r="G14" s="18">
        <v>1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7"/>
    </row>
    <row r="15" spans="1:35" ht="15" customHeight="1" x14ac:dyDescent="0.35">
      <c r="A15" s="18" t="s">
        <v>26</v>
      </c>
      <c r="B15" s="19" t="s">
        <v>27</v>
      </c>
      <c r="C15" s="18"/>
      <c r="D15" s="18">
        <v>1.2</v>
      </c>
      <c r="E15" s="20">
        <v>46321</v>
      </c>
      <c r="F15" s="20">
        <f t="shared" si="2"/>
        <v>46321</v>
      </c>
      <c r="G15" s="18">
        <v>1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7"/>
    </row>
    <row r="16" spans="1:35" ht="15" customHeight="1" x14ac:dyDescent="0.35">
      <c r="A16" s="18" t="s">
        <v>28</v>
      </c>
      <c r="B16" s="19" t="s">
        <v>29</v>
      </c>
      <c r="C16" s="18"/>
      <c r="D16" s="18">
        <v>1.2</v>
      </c>
      <c r="E16" s="20">
        <v>46332</v>
      </c>
      <c r="F16" s="20">
        <f t="shared" si="2"/>
        <v>46332</v>
      </c>
      <c r="G16" s="18">
        <v>1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7"/>
    </row>
    <row r="17" spans="1:35" ht="15" customHeight="1" x14ac:dyDescent="0.35">
      <c r="A17" s="13" t="s">
        <v>30</v>
      </c>
      <c r="B17" s="14" t="s">
        <v>31</v>
      </c>
      <c r="C17" s="13"/>
      <c r="D17" s="13"/>
      <c r="E17" s="15">
        <f>MIN(E18:E24)</f>
        <v>46314</v>
      </c>
      <c r="F17" s="15">
        <f>MAX(F18:F24)</f>
        <v>46323</v>
      </c>
      <c r="G17" s="13">
        <f>F17-E17+1</f>
        <v>10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7"/>
    </row>
    <row r="18" spans="1:35" ht="15" customHeight="1" x14ac:dyDescent="0.35">
      <c r="A18" s="18" t="s">
        <v>32</v>
      </c>
      <c r="B18" s="19" t="s">
        <v>33</v>
      </c>
      <c r="C18" s="18"/>
      <c r="D18" s="18" t="s">
        <v>15</v>
      </c>
      <c r="E18" s="20">
        <v>46314</v>
      </c>
      <c r="F18" s="20">
        <f t="shared" ref="F18:F24" si="3">E18+G18-1</f>
        <v>46315</v>
      </c>
      <c r="G18" s="18">
        <v>2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7"/>
    </row>
    <row r="19" spans="1:35" ht="15" customHeight="1" x14ac:dyDescent="0.35">
      <c r="A19" s="18" t="s">
        <v>34</v>
      </c>
      <c r="B19" s="19" t="s">
        <v>35</v>
      </c>
      <c r="C19" s="18"/>
      <c r="D19" s="18" t="s">
        <v>32</v>
      </c>
      <c r="E19" s="20">
        <v>46316</v>
      </c>
      <c r="F19" s="20">
        <f t="shared" si="3"/>
        <v>46318</v>
      </c>
      <c r="G19" s="18">
        <v>3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7"/>
    </row>
    <row r="20" spans="1:35" ht="15" customHeight="1" x14ac:dyDescent="0.35">
      <c r="A20" s="18" t="s">
        <v>36</v>
      </c>
      <c r="B20" s="19" t="s">
        <v>37</v>
      </c>
      <c r="C20" s="18"/>
      <c r="D20" s="18" t="s">
        <v>32</v>
      </c>
      <c r="E20" s="20">
        <v>46316</v>
      </c>
      <c r="F20" s="20">
        <f t="shared" si="3"/>
        <v>46317</v>
      </c>
      <c r="G20" s="18">
        <v>2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7"/>
    </row>
    <row r="21" spans="1:35" ht="15" customHeight="1" x14ac:dyDescent="0.35">
      <c r="A21" s="18" t="s">
        <v>38</v>
      </c>
      <c r="B21" s="19" t="s">
        <v>39</v>
      </c>
      <c r="C21" s="18"/>
      <c r="D21" s="18" t="s">
        <v>34</v>
      </c>
      <c r="E21" s="20">
        <v>46318</v>
      </c>
      <c r="F21" s="20">
        <f t="shared" si="3"/>
        <v>46320</v>
      </c>
      <c r="G21" s="18">
        <v>3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7"/>
    </row>
    <row r="22" spans="1:35" ht="15" customHeight="1" x14ac:dyDescent="0.35">
      <c r="A22" s="18" t="s">
        <v>40</v>
      </c>
      <c r="B22" s="19" t="s">
        <v>41</v>
      </c>
      <c r="C22" s="18"/>
      <c r="D22" s="18" t="s">
        <v>36</v>
      </c>
      <c r="E22" s="20">
        <v>46318</v>
      </c>
      <c r="F22" s="20">
        <f t="shared" si="3"/>
        <v>46320</v>
      </c>
      <c r="G22" s="18">
        <v>3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7"/>
    </row>
    <row r="23" spans="1:35" ht="15" customHeight="1" x14ac:dyDescent="0.35">
      <c r="A23" s="18" t="s">
        <v>42</v>
      </c>
      <c r="B23" s="19" t="s">
        <v>43</v>
      </c>
      <c r="C23" s="18"/>
      <c r="D23" s="18">
        <v>2.2999999999999998</v>
      </c>
      <c r="E23" s="20">
        <v>46319</v>
      </c>
      <c r="F23" s="20">
        <f t="shared" si="3"/>
        <v>46322</v>
      </c>
      <c r="G23" s="18">
        <v>4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7"/>
    </row>
    <row r="24" spans="1:35" ht="15" customHeight="1" x14ac:dyDescent="0.35">
      <c r="A24" s="18" t="s">
        <v>44</v>
      </c>
      <c r="B24" s="19" t="s">
        <v>45</v>
      </c>
      <c r="C24" s="18"/>
      <c r="D24" s="18">
        <v>2.2999999999999998</v>
      </c>
      <c r="E24" s="20">
        <v>46321</v>
      </c>
      <c r="F24" s="20">
        <f t="shared" si="3"/>
        <v>46323</v>
      </c>
      <c r="G24" s="18">
        <v>3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7"/>
    </row>
    <row r="25" spans="1:35" ht="15" customHeight="1" x14ac:dyDescent="0.35">
      <c r="A25" s="13" t="s">
        <v>46</v>
      </c>
      <c r="B25" s="14" t="s">
        <v>47</v>
      </c>
      <c r="C25" s="13"/>
      <c r="D25" s="13"/>
      <c r="E25" s="15">
        <f>MIN(E26:E31)</f>
        <v>46319</v>
      </c>
      <c r="F25" s="15">
        <f>MAX(F26:F31)</f>
        <v>46324</v>
      </c>
      <c r="G25" s="13">
        <f>F25-E25+1</f>
        <v>6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7"/>
    </row>
    <row r="26" spans="1:35" ht="15" customHeight="1" x14ac:dyDescent="0.35">
      <c r="A26" s="18" t="s">
        <v>48</v>
      </c>
      <c r="B26" s="19" t="s">
        <v>49</v>
      </c>
      <c r="C26" s="18"/>
      <c r="D26" s="18" t="s">
        <v>34</v>
      </c>
      <c r="E26" s="20">
        <v>46319</v>
      </c>
      <c r="F26" s="20">
        <f t="shared" ref="F26:F31" si="4">E26+G26-1</f>
        <v>46319</v>
      </c>
      <c r="G26" s="18">
        <v>1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7"/>
    </row>
    <row r="27" spans="1:35" ht="15" customHeight="1" x14ac:dyDescent="0.35">
      <c r="A27" s="18" t="s">
        <v>50</v>
      </c>
      <c r="B27" s="19" t="s">
        <v>51</v>
      </c>
      <c r="C27" s="18"/>
      <c r="D27" s="18" t="s">
        <v>48</v>
      </c>
      <c r="E27" s="20">
        <v>46320</v>
      </c>
      <c r="F27" s="20">
        <f t="shared" si="4"/>
        <v>46320</v>
      </c>
      <c r="G27" s="18">
        <v>1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7"/>
    </row>
    <row r="28" spans="1:35" ht="15" customHeight="1" x14ac:dyDescent="0.35">
      <c r="A28" s="18" t="s">
        <v>52</v>
      </c>
      <c r="B28" s="19" t="s">
        <v>53</v>
      </c>
      <c r="C28" s="18"/>
      <c r="D28" s="18" t="s">
        <v>50</v>
      </c>
      <c r="E28" s="20">
        <v>46321</v>
      </c>
      <c r="F28" s="20">
        <f t="shared" si="4"/>
        <v>46321</v>
      </c>
      <c r="G28" s="18">
        <v>1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7"/>
    </row>
    <row r="29" spans="1:35" ht="15" customHeight="1" x14ac:dyDescent="0.35">
      <c r="A29" s="18" t="s">
        <v>54</v>
      </c>
      <c r="B29" s="19" t="s">
        <v>55</v>
      </c>
      <c r="C29" s="18"/>
      <c r="D29" s="18" t="s">
        <v>52</v>
      </c>
      <c r="E29" s="20">
        <v>46322</v>
      </c>
      <c r="F29" s="20">
        <f t="shared" si="4"/>
        <v>46322</v>
      </c>
      <c r="G29" s="18">
        <v>1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7"/>
    </row>
    <row r="30" spans="1:35" ht="15" customHeight="1" x14ac:dyDescent="0.35">
      <c r="A30" s="18" t="s">
        <v>56</v>
      </c>
      <c r="B30" s="19" t="s">
        <v>57</v>
      </c>
      <c r="C30" s="18"/>
      <c r="D30" s="18" t="s">
        <v>54</v>
      </c>
      <c r="E30" s="20">
        <v>46323</v>
      </c>
      <c r="F30" s="20">
        <f t="shared" si="4"/>
        <v>46323</v>
      </c>
      <c r="G30" s="18">
        <v>1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7"/>
    </row>
    <row r="31" spans="1:35" ht="15" customHeight="1" x14ac:dyDescent="0.35">
      <c r="A31" s="18" t="s">
        <v>58</v>
      </c>
      <c r="B31" s="19" t="s">
        <v>59</v>
      </c>
      <c r="C31" s="18"/>
      <c r="D31" s="18" t="s">
        <v>54</v>
      </c>
      <c r="E31" s="20">
        <v>46323</v>
      </c>
      <c r="F31" s="20">
        <f t="shared" si="4"/>
        <v>46324</v>
      </c>
      <c r="G31" s="18">
        <v>2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7"/>
    </row>
    <row r="32" spans="1:35" ht="15" customHeight="1" x14ac:dyDescent="0.35">
      <c r="A32" s="13" t="s">
        <v>60</v>
      </c>
      <c r="B32" s="14" t="s">
        <v>61</v>
      </c>
      <c r="C32" s="13"/>
      <c r="D32" s="13"/>
      <c r="E32" s="15">
        <f>MIN(E33:E41)</f>
        <v>46326</v>
      </c>
      <c r="F32" s="15">
        <f>MAX(F33:F41)</f>
        <v>46335</v>
      </c>
      <c r="G32" s="13">
        <f>F32-E32+1</f>
        <v>10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7"/>
    </row>
    <row r="33" spans="1:35" ht="15" customHeight="1" x14ac:dyDescent="0.35">
      <c r="A33" s="18" t="s">
        <v>62</v>
      </c>
      <c r="B33" s="19" t="s">
        <v>63</v>
      </c>
      <c r="C33" s="18"/>
      <c r="D33" s="18" t="s">
        <v>56</v>
      </c>
      <c r="E33" s="20">
        <v>46326</v>
      </c>
      <c r="F33" s="20">
        <f t="shared" ref="F33:F41" si="5">E33+G33-1</f>
        <v>46326</v>
      </c>
      <c r="G33" s="18">
        <v>1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7"/>
    </row>
    <row r="34" spans="1:35" ht="15" customHeight="1" x14ac:dyDescent="0.35">
      <c r="A34" s="18" t="s">
        <v>64</v>
      </c>
      <c r="B34" s="19" t="s">
        <v>65</v>
      </c>
      <c r="C34" s="18"/>
      <c r="D34" s="18" t="s">
        <v>66</v>
      </c>
      <c r="E34" s="20">
        <v>46326</v>
      </c>
      <c r="F34" s="20">
        <f t="shared" si="5"/>
        <v>46327</v>
      </c>
      <c r="G34" s="18">
        <v>2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7"/>
    </row>
    <row r="35" spans="1:35" ht="15" customHeight="1" x14ac:dyDescent="0.35">
      <c r="A35" s="18" t="s">
        <v>67</v>
      </c>
      <c r="B35" s="19" t="s">
        <v>68</v>
      </c>
      <c r="C35" s="18"/>
      <c r="D35" s="18" t="s">
        <v>42</v>
      </c>
      <c r="E35" s="20">
        <v>46326</v>
      </c>
      <c r="F35" s="20">
        <f t="shared" si="5"/>
        <v>46327</v>
      </c>
      <c r="G35" s="18">
        <v>2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7"/>
    </row>
    <row r="36" spans="1:35" ht="15" customHeight="1" x14ac:dyDescent="0.35">
      <c r="A36" s="18" t="s">
        <v>69</v>
      </c>
      <c r="B36" s="19" t="s">
        <v>70</v>
      </c>
      <c r="C36" s="18"/>
      <c r="D36" s="18" t="s">
        <v>64</v>
      </c>
      <c r="E36" s="20">
        <v>46328</v>
      </c>
      <c r="F36" s="20">
        <f t="shared" si="5"/>
        <v>46330</v>
      </c>
      <c r="G36" s="18">
        <v>3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7"/>
    </row>
    <row r="37" spans="1:35" ht="15" customHeight="1" x14ac:dyDescent="0.35">
      <c r="A37" s="18" t="s">
        <v>71</v>
      </c>
      <c r="B37" s="19" t="s">
        <v>72</v>
      </c>
      <c r="C37" s="18"/>
      <c r="D37" s="18" t="s">
        <v>64</v>
      </c>
      <c r="E37" s="20">
        <v>46328</v>
      </c>
      <c r="F37" s="20">
        <f t="shared" si="5"/>
        <v>46330</v>
      </c>
      <c r="G37" s="18">
        <v>3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7"/>
    </row>
    <row r="38" spans="1:35" ht="15" customHeight="1" x14ac:dyDescent="0.35">
      <c r="A38" s="18" t="s">
        <v>73</v>
      </c>
      <c r="B38" s="19" t="s">
        <v>74</v>
      </c>
      <c r="C38" s="18"/>
      <c r="D38" s="18" t="s">
        <v>75</v>
      </c>
      <c r="E38" s="20">
        <v>46331</v>
      </c>
      <c r="F38" s="20">
        <f t="shared" si="5"/>
        <v>46332</v>
      </c>
      <c r="G38" s="18">
        <v>2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7"/>
    </row>
    <row r="39" spans="1:35" ht="15" customHeight="1" x14ac:dyDescent="0.35">
      <c r="A39" s="18" t="s">
        <v>76</v>
      </c>
      <c r="B39" s="19" t="s">
        <v>77</v>
      </c>
      <c r="C39" s="18"/>
      <c r="D39" s="18" t="s">
        <v>73</v>
      </c>
      <c r="E39" s="20">
        <v>46333</v>
      </c>
      <c r="F39" s="20">
        <f t="shared" si="5"/>
        <v>46334</v>
      </c>
      <c r="G39" s="18">
        <v>2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7"/>
    </row>
    <row r="40" spans="1:35" ht="15" customHeight="1" x14ac:dyDescent="0.35">
      <c r="A40" s="18" t="s">
        <v>78</v>
      </c>
      <c r="B40" s="19" t="s">
        <v>79</v>
      </c>
      <c r="C40" s="18"/>
      <c r="D40" s="18" t="s">
        <v>73</v>
      </c>
      <c r="E40" s="20">
        <v>46333</v>
      </c>
      <c r="F40" s="20">
        <f t="shared" si="5"/>
        <v>46334</v>
      </c>
      <c r="G40" s="18">
        <v>2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7"/>
    </row>
    <row r="41" spans="1:35" ht="15" customHeight="1" x14ac:dyDescent="0.35">
      <c r="A41" s="18" t="s">
        <v>80</v>
      </c>
      <c r="B41" s="19" t="s">
        <v>81</v>
      </c>
      <c r="C41" s="18"/>
      <c r="D41" s="18" t="s">
        <v>82</v>
      </c>
      <c r="E41" s="20">
        <v>46335</v>
      </c>
      <c r="F41" s="20">
        <f t="shared" si="5"/>
        <v>46335</v>
      </c>
      <c r="G41" s="18">
        <v>1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7"/>
    </row>
    <row r="42" spans="1:35" ht="15" customHeight="1" x14ac:dyDescent="0.35">
      <c r="A42" s="13" t="s">
        <v>83</v>
      </c>
      <c r="B42" s="14" t="s">
        <v>84</v>
      </c>
      <c r="C42" s="13"/>
      <c r="D42" s="13"/>
      <c r="E42" s="15">
        <f>MIN(E43:E50)</f>
        <v>46323</v>
      </c>
      <c r="F42" s="15">
        <f>MAX(F43:F50)</f>
        <v>46341</v>
      </c>
      <c r="G42" s="13">
        <f>F42-E42+1</f>
        <v>19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7"/>
    </row>
    <row r="43" spans="1:35" ht="15" customHeight="1" x14ac:dyDescent="0.35">
      <c r="A43" s="18" t="s">
        <v>85</v>
      </c>
      <c r="B43" s="19" t="s">
        <v>86</v>
      </c>
      <c r="C43" s="18"/>
      <c r="D43" s="18" t="s">
        <v>87</v>
      </c>
      <c r="E43" s="20">
        <v>46323</v>
      </c>
      <c r="F43" s="20">
        <f t="shared" ref="F43:F50" si="6">E43+G43-1</f>
        <v>46324</v>
      </c>
      <c r="G43" s="18">
        <v>2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7"/>
    </row>
    <row r="44" spans="1:35" ht="15" customHeight="1" x14ac:dyDescent="0.35">
      <c r="A44" s="18" t="s">
        <v>88</v>
      </c>
      <c r="B44" s="19" t="s">
        <v>89</v>
      </c>
      <c r="C44" s="18"/>
      <c r="D44" s="18" t="s">
        <v>85</v>
      </c>
      <c r="E44" s="20">
        <v>46325</v>
      </c>
      <c r="F44" s="20">
        <f t="shared" si="6"/>
        <v>46325</v>
      </c>
      <c r="G44" s="18">
        <v>1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7"/>
    </row>
    <row r="45" spans="1:35" ht="15" customHeight="1" x14ac:dyDescent="0.35">
      <c r="A45" s="18" t="s">
        <v>90</v>
      </c>
      <c r="B45" s="19" t="s">
        <v>91</v>
      </c>
      <c r="C45" s="18"/>
      <c r="D45" s="18" t="s">
        <v>62</v>
      </c>
      <c r="E45" s="20">
        <v>46332</v>
      </c>
      <c r="F45" s="20">
        <f t="shared" si="6"/>
        <v>46334</v>
      </c>
      <c r="G45" s="18">
        <v>3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7"/>
    </row>
    <row r="46" spans="1:35" ht="15" customHeight="1" x14ac:dyDescent="0.35">
      <c r="A46" s="18" t="s">
        <v>92</v>
      </c>
      <c r="B46" s="19" t="s">
        <v>93</v>
      </c>
      <c r="C46" s="18"/>
      <c r="D46" s="18" t="s">
        <v>80</v>
      </c>
      <c r="E46" s="20">
        <v>46335</v>
      </c>
      <c r="F46" s="20">
        <f t="shared" si="6"/>
        <v>46337</v>
      </c>
      <c r="G46" s="18">
        <v>3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7"/>
    </row>
    <row r="47" spans="1:35" ht="15" customHeight="1" x14ac:dyDescent="0.35">
      <c r="A47" s="18" t="s">
        <v>94</v>
      </c>
      <c r="B47" s="19" t="s">
        <v>95</v>
      </c>
      <c r="C47" s="18"/>
      <c r="D47" s="18" t="s">
        <v>80</v>
      </c>
      <c r="E47" s="20">
        <v>46336</v>
      </c>
      <c r="F47" s="20">
        <f t="shared" si="6"/>
        <v>46338</v>
      </c>
      <c r="G47" s="18">
        <v>3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7"/>
    </row>
    <row r="48" spans="1:35" ht="15" customHeight="1" x14ac:dyDescent="0.35">
      <c r="A48" s="18" t="s">
        <v>96</v>
      </c>
      <c r="B48" s="19" t="s">
        <v>97</v>
      </c>
      <c r="C48" s="18"/>
      <c r="D48" s="18" t="s">
        <v>94</v>
      </c>
      <c r="E48" s="20">
        <v>46338</v>
      </c>
      <c r="F48" s="20">
        <f t="shared" si="6"/>
        <v>46338</v>
      </c>
      <c r="G48" s="18">
        <v>1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7"/>
    </row>
    <row r="49" spans="1:35" ht="15" customHeight="1" x14ac:dyDescent="0.35">
      <c r="A49" s="18" t="s">
        <v>98</v>
      </c>
      <c r="B49" s="19" t="s">
        <v>99</v>
      </c>
      <c r="C49" s="18"/>
      <c r="D49" s="18" t="s">
        <v>96</v>
      </c>
      <c r="E49" s="20">
        <v>46339</v>
      </c>
      <c r="F49" s="20">
        <f t="shared" si="6"/>
        <v>46339</v>
      </c>
      <c r="G49" s="18">
        <v>1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7"/>
    </row>
    <row r="50" spans="1:35" ht="15" customHeight="1" x14ac:dyDescent="0.35">
      <c r="A50" s="18" t="s">
        <v>100</v>
      </c>
      <c r="B50" s="19" t="s">
        <v>101</v>
      </c>
      <c r="C50" s="18"/>
      <c r="D50" s="18" t="s">
        <v>102</v>
      </c>
      <c r="E50" s="20">
        <v>46340</v>
      </c>
      <c r="F50" s="20">
        <f t="shared" si="6"/>
        <v>46341</v>
      </c>
      <c r="G50" s="18">
        <v>2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7"/>
    </row>
  </sheetData>
  <mergeCells count="11">
    <mergeCell ref="AC6:AI6"/>
    <mergeCell ref="F6:F8"/>
    <mergeCell ref="G6:G8"/>
    <mergeCell ref="H6:N6"/>
    <mergeCell ref="O6:U6"/>
    <mergeCell ref="V6:AB6"/>
    <mergeCell ref="A6:A8"/>
    <mergeCell ref="B6:B8"/>
    <mergeCell ref="C6:C8"/>
    <mergeCell ref="D6:D8"/>
    <mergeCell ref="E6:E8"/>
  </mergeCells>
  <conditionalFormatting sqref="H9:AI50">
    <cfRule type="expression" dxfId="3" priority="2">
      <formula>AND(H$8&gt;=$E9,H$8&lt;=$F9,LEN($A9)=1)</formula>
    </cfRule>
    <cfRule type="expression" dxfId="2" priority="3">
      <formula>AND(H$8&gt;=$E9,H$8&lt;=$F9,LEFT($B9,9)="MILESTONE")</formula>
    </cfRule>
    <cfRule type="expression" dxfId="1" priority="4">
      <formula>AND(H$8&gt;=$E9,H$8&lt;=$F9)</formula>
    </cfRule>
    <cfRule type="expression" dxfId="0" priority="5">
      <formula>WEEKDAY(H$8,2)&gt;5</formula>
    </cfRule>
  </conditionalFormatting>
  <pageMargins left="0.4" right="0.4" top="0.5" bottom="0.5" header="0.511811023622047" footer="0.5"/>
  <pageSetup orientation="landscape" horizontalDpi="300" verticalDpi="300"/>
  <headerFooter>
    <oddFooter>&amp;CTeam 7 – EGR 100 Project #2 Gantt Chart</oddFooter>
  </headerFooter>
  <ignoredErrors>
    <ignoredError sqref="D18:D50" numberStoredAsText="1"/>
    <ignoredError sqref="F17 F25 F32 F4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Andria Sreseli</cp:lastModifiedBy>
  <cp:revision>0</cp:revision>
  <dcterms:created xsi:type="dcterms:W3CDTF">2026-10-19T00:49:43Z</dcterms:created>
  <dcterms:modified xsi:type="dcterms:W3CDTF">2026-10-19T00:52:34Z</dcterms:modified>
  <dc:language>en-US</dc:language>
</cp:coreProperties>
</file>